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a-my.sharepoint.com/personal/rakytiak3_uniba_sk/Documents/swe_ai/AI4SE_Labs_2026/Week_03_Prompting/Assignments/Task_4/"/>
    </mc:Choice>
  </mc:AlternateContent>
  <xr:revisionPtr revIDLastSave="109" documentId="8_{6401CE11-C1FB-4527-8DAD-1B4ADBD72519}" xr6:coauthVersionLast="47" xr6:coauthVersionMax="47" xr10:uidLastSave="{DCA857D2-126D-40DF-BD8E-A9569FA6E8CA}"/>
  <bookViews>
    <workbookView minimized="1" xWindow="4732" yWindow="2100" windowWidth="16200" windowHeight="9983" xr2:uid="{1A2DECF5-CCA0-460C-AA7D-DB33D787BDA1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" l="1"/>
  <c r="D13" i="1"/>
  <c r="E13" i="1"/>
  <c r="F13" i="1"/>
  <c r="B13" i="1"/>
  <c r="F11" i="1"/>
  <c r="E11" i="1"/>
  <c r="D11" i="1"/>
  <c r="C11" i="1"/>
  <c r="B11" i="1"/>
  <c r="E5" i="1"/>
  <c r="F5" i="1"/>
  <c r="C5" i="1"/>
  <c r="D5" i="1"/>
  <c r="B5" i="1"/>
</calcChain>
</file>

<file path=xl/sharedStrings.xml><?xml version="1.0" encoding="utf-8"?>
<sst xmlns="http://schemas.openxmlformats.org/spreadsheetml/2006/main" count="28" uniqueCount="15">
  <si>
    <t>Prompt</t>
  </si>
  <si>
    <t>prime</t>
  </si>
  <si>
    <t>react</t>
  </si>
  <si>
    <t>rtf</t>
  </si>
  <si>
    <t>Time (s)</t>
  </si>
  <si>
    <t>Accuracy (%)</t>
  </si>
  <si>
    <t>Average length (SQL tks/query)</t>
  </si>
  <si>
    <t>priemer</t>
  </si>
  <si>
    <t>Shortest query</t>
  </si>
  <si>
    <t>Longest query</t>
  </si>
  <si>
    <t>2. evaluácia</t>
  </si>
  <si>
    <t>celový priemer</t>
  </si>
  <si>
    <t>zmena</t>
  </si>
  <si>
    <t>model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</si>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</sst>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1" fillId="3" borderId="7" xfId="2" applyNumberFormat="1" applyBorder="1"/>
    <xf numFmtId="2" fontId="1" fillId="3" borderId="8" xfId="2" applyNumberFormat="1" applyBorder="1"/>
    <xf numFmtId="0" fontId="2" fillId="2" borderId="1" xfId="1" applyBorder="1"/>
    <xf numFmtId="0" fontId="0" fillId="0" borderId="7" xfId="0" applyBorder="1" applyAlignment="1">
      <alignment horizontal="center"/>
    </xf>
    <xf numFmtId="2" fontId="0" fillId="0" borderId="0" xfId="0" applyNumberFormat="1"/>
    <xf numFmtId="0" fontId="0" fillId="0" borderId="0" xfId="0" applyAlignment="1">
      <alignment vertical="center" wrapText="1"/>
    </xf>
  </cellXfs>
  <cellStyles count="3">
    <cellStyle name="20 % - zvýraznenie2" xfId="2" builtinId="34"/>
    <cellStyle name="Normálna" xfId="0" builtinId="0"/>
    <cellStyle name="Zvýraznenie2" xfId="1" builtinId="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E</a:t>
            </a:r>
            <a:r>
              <a:rPr lang="sk-SK" baseline="0"/>
              <a:t>valuácia promptov</a:t>
            </a:r>
            <a:r>
              <a:rPr lang="en-US" baseline="0"/>
              <a:t> 1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Hárok1!$B$1</c:f>
              <c:strCache>
                <c:ptCount val="1"/>
                <c:pt idx="0">
                  <c:v>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Hárok1!$A$2:$A$4</c:f>
              <c:strCache>
                <c:ptCount val="3"/>
                <c:pt idx="0">
                  <c:v>prime</c:v>
                </c:pt>
                <c:pt idx="1">
                  <c:v>react</c:v>
                </c:pt>
                <c:pt idx="2">
                  <c:v>rtf</c:v>
                </c:pt>
              </c:strCache>
            </c:strRef>
          </c:cat>
          <c:val>
            <c:numRef>
              <c:f>Hárok1!$B$2:$B$4</c:f>
              <c:numCache>
                <c:formatCode>General</c:formatCode>
                <c:ptCount val="3"/>
                <c:pt idx="0">
                  <c:v>159</c:v>
                </c:pt>
                <c:pt idx="1">
                  <c:v>99</c:v>
                </c:pt>
                <c:pt idx="2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4-4960-9E26-6B47F9968F60}"/>
            </c:ext>
          </c:extLst>
        </c:ser>
        <c:ser>
          <c:idx val="1"/>
          <c:order val="1"/>
          <c:tx>
            <c:strRef>
              <c:f>Hárok1!$C$1</c:f>
              <c:strCache>
                <c:ptCount val="1"/>
                <c:pt idx="0">
                  <c:v>Accuracy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Hárok1!$A$2:$A$4</c:f>
              <c:strCache>
                <c:ptCount val="3"/>
                <c:pt idx="0">
                  <c:v>prime</c:v>
                </c:pt>
                <c:pt idx="1">
                  <c:v>react</c:v>
                </c:pt>
                <c:pt idx="2">
                  <c:v>rtf</c:v>
                </c:pt>
              </c:strCache>
            </c:strRef>
          </c:cat>
          <c:val>
            <c:numRef>
              <c:f>Hárok1!$C$2:$C$4</c:f>
              <c:numCache>
                <c:formatCode>General</c:formatCode>
                <c:ptCount val="3"/>
                <c:pt idx="0">
                  <c:v>25.16</c:v>
                </c:pt>
                <c:pt idx="1">
                  <c:v>21.94</c:v>
                </c:pt>
                <c:pt idx="2">
                  <c:v>20.65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4-4960-9E26-6B47F9968F60}"/>
            </c:ext>
          </c:extLst>
        </c:ser>
        <c:ser>
          <c:idx val="2"/>
          <c:order val="2"/>
          <c:tx>
            <c:strRef>
              <c:f>Hárok1!$D$1</c:f>
              <c:strCache>
                <c:ptCount val="1"/>
                <c:pt idx="0">
                  <c:v>Average length (SQL tks/query)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Hárok1!$A$2:$A$4</c:f>
              <c:strCache>
                <c:ptCount val="3"/>
                <c:pt idx="0">
                  <c:v>prime</c:v>
                </c:pt>
                <c:pt idx="1">
                  <c:v>react</c:v>
                </c:pt>
                <c:pt idx="2">
                  <c:v>rtf</c:v>
                </c:pt>
              </c:strCache>
            </c:strRef>
          </c:cat>
          <c:val>
            <c:numRef>
              <c:f>Hárok1!$D$2:$D$4</c:f>
              <c:numCache>
                <c:formatCode>General</c:formatCode>
                <c:ptCount val="3"/>
                <c:pt idx="0">
                  <c:v>28.96</c:v>
                </c:pt>
                <c:pt idx="1">
                  <c:v>30.13</c:v>
                </c:pt>
                <c:pt idx="2">
                  <c:v>30.51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D4-4960-9E26-6B47F9968F60}"/>
            </c:ext>
          </c:extLst>
        </c:ser>
        <c:ser>
          <c:idx val="3"/>
          <c:order val="3"/>
          <c:tx>
            <c:strRef>
              <c:f>Hárok1!$E$1</c:f>
              <c:strCache>
                <c:ptCount val="1"/>
                <c:pt idx="0">
                  <c:v>Shortest query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Hárok1!$A$2:$A$4</c:f>
              <c:strCache>
                <c:ptCount val="3"/>
                <c:pt idx="0">
                  <c:v>prime</c:v>
                </c:pt>
                <c:pt idx="1">
                  <c:v>react</c:v>
                </c:pt>
                <c:pt idx="2">
                  <c:v>rtf</c:v>
                </c:pt>
              </c:strCache>
            </c:strRef>
          </c:cat>
          <c:val>
            <c:numRef>
              <c:f>Hárok1!$E$2:$E$4</c:f>
              <c:numCache>
                <c:formatCode>General</c:formatCode>
                <c:ptCount val="3"/>
                <c:pt idx="0">
                  <c:v>8</c:v>
                </c:pt>
                <c:pt idx="1">
                  <c:v>13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D4-4960-9E26-6B47F9968F60}"/>
            </c:ext>
          </c:extLst>
        </c:ser>
        <c:ser>
          <c:idx val="4"/>
          <c:order val="4"/>
          <c:tx>
            <c:strRef>
              <c:f>Hárok1!$F$1</c:f>
              <c:strCache>
                <c:ptCount val="1"/>
                <c:pt idx="0">
                  <c:v>Longest query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Hárok1!$A$2:$A$4</c:f>
              <c:strCache>
                <c:ptCount val="3"/>
                <c:pt idx="0">
                  <c:v>prime</c:v>
                </c:pt>
                <c:pt idx="1">
                  <c:v>react</c:v>
                </c:pt>
                <c:pt idx="2">
                  <c:v>rtf</c:v>
                </c:pt>
              </c:strCache>
            </c:strRef>
          </c:cat>
          <c:val>
            <c:numRef>
              <c:f>Hárok1!$F$2:$F$4</c:f>
              <c:numCache>
                <c:formatCode>General</c:formatCode>
                <c:ptCount val="3"/>
                <c:pt idx="0">
                  <c:v>54</c:v>
                </c:pt>
                <c:pt idx="1">
                  <c:v>73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D4-4960-9E26-6B47F9968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3456063"/>
        <c:axId val="1895420431"/>
      </c:barChart>
      <c:catAx>
        <c:axId val="188345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95420431"/>
        <c:crosses val="autoZero"/>
        <c:auto val="1"/>
        <c:lblAlgn val="ctr"/>
        <c:lblOffset val="100"/>
        <c:noMultiLvlLbl val="0"/>
      </c:catAx>
      <c:valAx>
        <c:axId val="189542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8345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Evaluácia</a:t>
            </a:r>
            <a:r>
              <a:rPr lang="sk-SK" baseline="0"/>
              <a:t> po metrikách</a:t>
            </a:r>
            <a:r>
              <a:rPr lang="en-US" baseline="0"/>
              <a:t> 1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5.2138960158070131E-2"/>
          <c:y val="0.14353188146093168"/>
          <c:w val="0.89030796150481195"/>
          <c:h val="0.611815370072604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Hárok1!$A$2</c:f>
              <c:strCache>
                <c:ptCount val="1"/>
                <c:pt idx="0">
                  <c:v>prime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Hárok1!$B$1:$F$1</c:f>
              <c:strCache>
                <c:ptCount val="5"/>
                <c:pt idx="0">
                  <c:v>Time (s)</c:v>
                </c:pt>
                <c:pt idx="1">
                  <c:v>Accuracy (%)</c:v>
                </c:pt>
                <c:pt idx="2">
                  <c:v>Average length (SQL tks/query)</c:v>
                </c:pt>
                <c:pt idx="3">
                  <c:v>Shortest query</c:v>
                </c:pt>
                <c:pt idx="4">
                  <c:v>Longest query</c:v>
                </c:pt>
              </c:strCache>
            </c:strRef>
          </c:cat>
          <c:val>
            <c:numRef>
              <c:f>Hárok1!$B$2:$F$2</c:f>
              <c:numCache>
                <c:formatCode>General</c:formatCode>
                <c:ptCount val="5"/>
                <c:pt idx="0">
                  <c:v>159</c:v>
                </c:pt>
                <c:pt idx="1">
                  <c:v>25.16</c:v>
                </c:pt>
                <c:pt idx="2">
                  <c:v>28.96</c:v>
                </c:pt>
                <c:pt idx="3">
                  <c:v>8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E-4847-838F-748911B3C550}"/>
            </c:ext>
          </c:extLst>
        </c:ser>
        <c:ser>
          <c:idx val="1"/>
          <c:order val="1"/>
          <c:tx>
            <c:strRef>
              <c:f>Hárok1!$A$3</c:f>
              <c:strCache>
                <c:ptCount val="1"/>
                <c:pt idx="0">
                  <c:v>react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Hárok1!$B$1:$F$1</c:f>
              <c:strCache>
                <c:ptCount val="5"/>
                <c:pt idx="0">
                  <c:v>Time (s)</c:v>
                </c:pt>
                <c:pt idx="1">
                  <c:v>Accuracy (%)</c:v>
                </c:pt>
                <c:pt idx="2">
                  <c:v>Average length (SQL tks/query)</c:v>
                </c:pt>
                <c:pt idx="3">
                  <c:v>Shortest query</c:v>
                </c:pt>
                <c:pt idx="4">
                  <c:v>Longest query</c:v>
                </c:pt>
              </c:strCache>
            </c:strRef>
          </c:cat>
          <c:val>
            <c:numRef>
              <c:f>Hárok1!$B$3:$F$3</c:f>
              <c:numCache>
                <c:formatCode>General</c:formatCode>
                <c:ptCount val="5"/>
                <c:pt idx="0">
                  <c:v>99</c:v>
                </c:pt>
                <c:pt idx="1">
                  <c:v>21.94</c:v>
                </c:pt>
                <c:pt idx="2">
                  <c:v>30.13</c:v>
                </c:pt>
                <c:pt idx="3">
                  <c:v>13</c:v>
                </c:pt>
                <c:pt idx="4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FE-4847-838F-748911B3C550}"/>
            </c:ext>
          </c:extLst>
        </c:ser>
        <c:ser>
          <c:idx val="2"/>
          <c:order val="2"/>
          <c:tx>
            <c:strRef>
              <c:f>Hárok1!$A$4</c:f>
              <c:strCache>
                <c:ptCount val="1"/>
                <c:pt idx="0">
                  <c:v>rtf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Hárok1!$B$1:$F$1</c:f>
              <c:strCache>
                <c:ptCount val="5"/>
                <c:pt idx="0">
                  <c:v>Time (s)</c:v>
                </c:pt>
                <c:pt idx="1">
                  <c:v>Accuracy (%)</c:v>
                </c:pt>
                <c:pt idx="2">
                  <c:v>Average length (SQL tks/query)</c:v>
                </c:pt>
                <c:pt idx="3">
                  <c:v>Shortest query</c:v>
                </c:pt>
                <c:pt idx="4">
                  <c:v>Longest query</c:v>
                </c:pt>
              </c:strCache>
            </c:strRef>
          </c:cat>
          <c:val>
            <c:numRef>
              <c:f>Hárok1!$B$4:$F$4</c:f>
              <c:numCache>
                <c:formatCode>General</c:formatCode>
                <c:ptCount val="5"/>
                <c:pt idx="0">
                  <c:v>118</c:v>
                </c:pt>
                <c:pt idx="1">
                  <c:v>20.65</c:v>
                </c:pt>
                <c:pt idx="2">
                  <c:v>30.51</c:v>
                </c:pt>
                <c:pt idx="3">
                  <c:v>9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FE-4847-838F-748911B3C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175536"/>
        <c:axId val="1743446800"/>
      </c:barChart>
      <c:lineChart>
        <c:grouping val="standard"/>
        <c:varyColors val="0"/>
        <c:ser>
          <c:idx val="3"/>
          <c:order val="3"/>
          <c:tx>
            <c:strRef>
              <c:f>Hárok1!$A$5</c:f>
              <c:strCache>
                <c:ptCount val="1"/>
                <c:pt idx="0">
                  <c:v>priemer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Hárok1!$B$1:$F$1</c:f>
              <c:strCache>
                <c:ptCount val="5"/>
                <c:pt idx="0">
                  <c:v>Time (s)</c:v>
                </c:pt>
                <c:pt idx="1">
                  <c:v>Accuracy (%)</c:v>
                </c:pt>
                <c:pt idx="2">
                  <c:v>Average length (SQL tks/query)</c:v>
                </c:pt>
                <c:pt idx="3">
                  <c:v>Shortest query</c:v>
                </c:pt>
                <c:pt idx="4">
                  <c:v>Longest query</c:v>
                </c:pt>
              </c:strCache>
            </c:strRef>
          </c:cat>
          <c:val>
            <c:numRef>
              <c:f>Hárok1!$B$5:$F$5</c:f>
              <c:numCache>
                <c:formatCode>0.00</c:formatCode>
                <c:ptCount val="5"/>
                <c:pt idx="0">
                  <c:v>125.33333333333333</c:v>
                </c:pt>
                <c:pt idx="1">
                  <c:v>22.583333333333332</c:v>
                </c:pt>
                <c:pt idx="2">
                  <c:v>29.866666666666671</c:v>
                </c:pt>
                <c:pt idx="3">
                  <c:v>10</c:v>
                </c:pt>
                <c:pt idx="4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FE-4847-838F-748911B3C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4175536"/>
        <c:axId val="1743446800"/>
      </c:lineChart>
      <c:catAx>
        <c:axId val="190417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43446800"/>
        <c:crosses val="autoZero"/>
        <c:auto val="1"/>
        <c:lblAlgn val="ctr"/>
        <c:lblOffset val="100"/>
        <c:noMultiLvlLbl val="0"/>
      </c:catAx>
      <c:valAx>
        <c:axId val="17434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90417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938349700669437"/>
          <c:y val="0.89141779863498483"/>
          <c:w val="0.43577832580148468"/>
          <c:h val="6.0811219178202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</a:t>
            </a:r>
            <a:r>
              <a:rPr lang="sk-SK"/>
              <a:t>ácia</a:t>
            </a:r>
            <a:r>
              <a:rPr lang="sk-SK" baseline="0"/>
              <a:t> promptov 2</a:t>
            </a:r>
            <a:endParaRPr lang="sk-SK"/>
          </a:p>
        </c:rich>
      </c:tx>
      <c:layout>
        <c:manualLayout>
          <c:xMode val="edge"/>
          <c:yMode val="edge"/>
          <c:x val="0.3516874453193351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Hárok1!$A$8</c:f>
              <c:strCache>
                <c:ptCount val="1"/>
                <c:pt idx="0">
                  <c:v>prime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Hárok1!$B$7:$F$7</c:f>
              <c:strCache>
                <c:ptCount val="5"/>
                <c:pt idx="0">
                  <c:v>Time (s)</c:v>
                </c:pt>
                <c:pt idx="1">
                  <c:v>Accuracy (%)</c:v>
                </c:pt>
                <c:pt idx="2">
                  <c:v>Average length (SQL tks/query)</c:v>
                </c:pt>
                <c:pt idx="3">
                  <c:v>Shortest query</c:v>
                </c:pt>
                <c:pt idx="4">
                  <c:v>Longest query</c:v>
                </c:pt>
              </c:strCache>
            </c:strRef>
          </c:cat>
          <c:val>
            <c:numRef>
              <c:f>Hárok1!$B$8:$F$8</c:f>
              <c:numCache>
                <c:formatCode>General</c:formatCode>
                <c:ptCount val="5"/>
                <c:pt idx="0">
                  <c:v>142</c:v>
                </c:pt>
                <c:pt idx="1">
                  <c:v>27.74</c:v>
                </c:pt>
                <c:pt idx="2">
                  <c:v>33.17</c:v>
                </c:pt>
                <c:pt idx="3">
                  <c:v>13</c:v>
                </c:pt>
                <c:pt idx="4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7-49FF-95C1-25C674DC98A0}"/>
            </c:ext>
          </c:extLst>
        </c:ser>
        <c:ser>
          <c:idx val="1"/>
          <c:order val="1"/>
          <c:tx>
            <c:strRef>
              <c:f>Hárok1!$A$9</c:f>
              <c:strCache>
                <c:ptCount val="1"/>
                <c:pt idx="0">
                  <c:v>react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Hárok1!$B$7:$F$7</c:f>
              <c:strCache>
                <c:ptCount val="5"/>
                <c:pt idx="0">
                  <c:v>Time (s)</c:v>
                </c:pt>
                <c:pt idx="1">
                  <c:v>Accuracy (%)</c:v>
                </c:pt>
                <c:pt idx="2">
                  <c:v>Average length (SQL tks/query)</c:v>
                </c:pt>
                <c:pt idx="3">
                  <c:v>Shortest query</c:v>
                </c:pt>
                <c:pt idx="4">
                  <c:v>Longest query</c:v>
                </c:pt>
              </c:strCache>
            </c:strRef>
          </c:cat>
          <c:val>
            <c:numRef>
              <c:f>Hárok1!$B$9:$F$9</c:f>
              <c:numCache>
                <c:formatCode>General</c:formatCode>
                <c:ptCount val="5"/>
                <c:pt idx="0">
                  <c:v>100</c:v>
                </c:pt>
                <c:pt idx="1">
                  <c:v>21.94</c:v>
                </c:pt>
                <c:pt idx="2">
                  <c:v>28.06</c:v>
                </c:pt>
                <c:pt idx="3">
                  <c:v>8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87-49FF-95C1-25C674DC98A0}"/>
            </c:ext>
          </c:extLst>
        </c:ser>
        <c:ser>
          <c:idx val="2"/>
          <c:order val="2"/>
          <c:tx>
            <c:strRef>
              <c:f>Hárok1!$A$10</c:f>
              <c:strCache>
                <c:ptCount val="1"/>
                <c:pt idx="0">
                  <c:v>rtf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Hárok1!$B$7:$F$7</c:f>
              <c:strCache>
                <c:ptCount val="5"/>
                <c:pt idx="0">
                  <c:v>Time (s)</c:v>
                </c:pt>
                <c:pt idx="1">
                  <c:v>Accuracy (%)</c:v>
                </c:pt>
                <c:pt idx="2">
                  <c:v>Average length (SQL tks/query)</c:v>
                </c:pt>
                <c:pt idx="3">
                  <c:v>Shortest query</c:v>
                </c:pt>
                <c:pt idx="4">
                  <c:v>Longest query</c:v>
                </c:pt>
              </c:strCache>
            </c:strRef>
          </c:cat>
          <c:val>
            <c:numRef>
              <c:f>Hárok1!$B$10:$F$10</c:f>
              <c:numCache>
                <c:formatCode>General</c:formatCode>
                <c:ptCount val="5"/>
                <c:pt idx="0">
                  <c:v>86</c:v>
                </c:pt>
                <c:pt idx="1">
                  <c:v>21.94</c:v>
                </c:pt>
                <c:pt idx="2">
                  <c:v>51.94</c:v>
                </c:pt>
                <c:pt idx="3">
                  <c:v>38</c:v>
                </c:pt>
                <c:pt idx="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87-49FF-95C1-25C674DC9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800927"/>
        <c:axId val="1895572687"/>
      </c:barChart>
      <c:lineChart>
        <c:grouping val="standard"/>
        <c:varyColors val="0"/>
        <c:ser>
          <c:idx val="3"/>
          <c:order val="3"/>
          <c:tx>
            <c:strRef>
              <c:f>Hárok1!$A$11</c:f>
              <c:strCache>
                <c:ptCount val="1"/>
                <c:pt idx="0">
                  <c:v>priemer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Hárok1!$B$7:$F$7</c:f>
              <c:strCache>
                <c:ptCount val="5"/>
                <c:pt idx="0">
                  <c:v>Time (s)</c:v>
                </c:pt>
                <c:pt idx="1">
                  <c:v>Accuracy (%)</c:v>
                </c:pt>
                <c:pt idx="2">
                  <c:v>Average length (SQL tks/query)</c:v>
                </c:pt>
                <c:pt idx="3">
                  <c:v>Shortest query</c:v>
                </c:pt>
                <c:pt idx="4">
                  <c:v>Longest query</c:v>
                </c:pt>
              </c:strCache>
            </c:strRef>
          </c:cat>
          <c:val>
            <c:numRef>
              <c:f>Hárok1!$B$11:$F$11</c:f>
              <c:numCache>
                <c:formatCode>0.00</c:formatCode>
                <c:ptCount val="5"/>
                <c:pt idx="0">
                  <c:v>109.33333333333333</c:v>
                </c:pt>
                <c:pt idx="1">
                  <c:v>23.873333333333335</c:v>
                </c:pt>
                <c:pt idx="2">
                  <c:v>37.723333333333336</c:v>
                </c:pt>
                <c:pt idx="3">
                  <c:v>19.666666666666668</c:v>
                </c:pt>
                <c:pt idx="4">
                  <c:v>84.333333333333329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87-49FF-95C1-25C674DC9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00927"/>
        <c:axId val="1895572687"/>
      </c:lineChart>
      <c:catAx>
        <c:axId val="18080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95572687"/>
        <c:crosses val="autoZero"/>
        <c:auto val="1"/>
        <c:lblAlgn val="ctr"/>
        <c:lblOffset val="100"/>
        <c:noMultiLvlLbl val="0"/>
      </c:catAx>
      <c:valAx>
        <c:axId val="189557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080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E</a:t>
            </a:r>
            <a:r>
              <a:rPr lang="sk-SK" baseline="0"/>
              <a:t>valuácia promptov</a:t>
            </a:r>
            <a:r>
              <a:rPr lang="en-US" baseline="0"/>
              <a:t> 2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Hárok1!$B$1</c:f>
              <c:strCache>
                <c:ptCount val="1"/>
                <c:pt idx="0">
                  <c:v>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Hárok1!$A$8:$A$10</c:f>
              <c:strCache>
                <c:ptCount val="3"/>
                <c:pt idx="0">
                  <c:v>prime</c:v>
                </c:pt>
                <c:pt idx="1">
                  <c:v>react</c:v>
                </c:pt>
                <c:pt idx="2">
                  <c:v>rtf</c:v>
                </c:pt>
              </c:strCache>
            </c:strRef>
          </c:cat>
          <c:val>
            <c:numRef>
              <c:f>Hárok1!$B$8:$B$10</c:f>
              <c:numCache>
                <c:formatCode>General</c:formatCode>
                <c:ptCount val="3"/>
                <c:pt idx="0">
                  <c:v>142</c:v>
                </c:pt>
                <c:pt idx="1">
                  <c:v>100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E-4FDC-A9B5-3C01E5684B65}"/>
            </c:ext>
          </c:extLst>
        </c:ser>
        <c:ser>
          <c:idx val="1"/>
          <c:order val="1"/>
          <c:tx>
            <c:strRef>
              <c:f>Hárok1!$C$1</c:f>
              <c:strCache>
                <c:ptCount val="1"/>
                <c:pt idx="0">
                  <c:v>Accuracy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Hárok1!$A$8:$A$10</c:f>
              <c:strCache>
                <c:ptCount val="3"/>
                <c:pt idx="0">
                  <c:v>prime</c:v>
                </c:pt>
                <c:pt idx="1">
                  <c:v>react</c:v>
                </c:pt>
                <c:pt idx="2">
                  <c:v>rtf</c:v>
                </c:pt>
              </c:strCache>
            </c:strRef>
          </c:cat>
          <c:val>
            <c:numRef>
              <c:f>Hárok1!$C$8:$C$10</c:f>
              <c:numCache>
                <c:formatCode>General</c:formatCode>
                <c:ptCount val="3"/>
                <c:pt idx="0">
                  <c:v>27.74</c:v>
                </c:pt>
                <c:pt idx="1">
                  <c:v>21.94</c:v>
                </c:pt>
                <c:pt idx="2">
                  <c:v>21.94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E-4FDC-A9B5-3C01E5684B65}"/>
            </c:ext>
          </c:extLst>
        </c:ser>
        <c:ser>
          <c:idx val="2"/>
          <c:order val="2"/>
          <c:tx>
            <c:strRef>
              <c:f>Hárok1!$D$1</c:f>
              <c:strCache>
                <c:ptCount val="1"/>
                <c:pt idx="0">
                  <c:v>Average length (SQL tks/query)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Hárok1!$A$8:$A$10</c:f>
              <c:strCache>
                <c:ptCount val="3"/>
                <c:pt idx="0">
                  <c:v>prime</c:v>
                </c:pt>
                <c:pt idx="1">
                  <c:v>react</c:v>
                </c:pt>
                <c:pt idx="2">
                  <c:v>rtf</c:v>
                </c:pt>
              </c:strCache>
            </c:strRef>
          </c:cat>
          <c:val>
            <c:numRef>
              <c:f>Hárok1!$D$8:$D$10</c:f>
              <c:numCache>
                <c:formatCode>General</c:formatCode>
                <c:ptCount val="3"/>
                <c:pt idx="0">
                  <c:v>33.17</c:v>
                </c:pt>
                <c:pt idx="1">
                  <c:v>28.06</c:v>
                </c:pt>
                <c:pt idx="2">
                  <c:v>51.94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E-4FDC-A9B5-3C01E5684B65}"/>
            </c:ext>
          </c:extLst>
        </c:ser>
        <c:ser>
          <c:idx val="3"/>
          <c:order val="3"/>
          <c:tx>
            <c:strRef>
              <c:f>Hárok1!$E$1</c:f>
              <c:strCache>
                <c:ptCount val="1"/>
                <c:pt idx="0">
                  <c:v>Shortest query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Hárok1!$A$8:$A$10</c:f>
              <c:strCache>
                <c:ptCount val="3"/>
                <c:pt idx="0">
                  <c:v>prime</c:v>
                </c:pt>
                <c:pt idx="1">
                  <c:v>react</c:v>
                </c:pt>
                <c:pt idx="2">
                  <c:v>rtf</c:v>
                </c:pt>
              </c:strCache>
            </c:strRef>
          </c:cat>
          <c:val>
            <c:numRef>
              <c:f>Hárok1!$E$8:$E$10</c:f>
              <c:numCache>
                <c:formatCode>General</c:formatCode>
                <c:ptCount val="3"/>
                <c:pt idx="0">
                  <c:v>13</c:v>
                </c:pt>
                <c:pt idx="1">
                  <c:v>8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5E-4FDC-A9B5-3C01E5684B65}"/>
            </c:ext>
          </c:extLst>
        </c:ser>
        <c:ser>
          <c:idx val="4"/>
          <c:order val="4"/>
          <c:tx>
            <c:strRef>
              <c:f>Hárok1!$F$1</c:f>
              <c:strCache>
                <c:ptCount val="1"/>
                <c:pt idx="0">
                  <c:v>Longest query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Hárok1!$A$8:$A$10</c:f>
              <c:strCache>
                <c:ptCount val="3"/>
                <c:pt idx="0">
                  <c:v>prime</c:v>
                </c:pt>
                <c:pt idx="1">
                  <c:v>react</c:v>
                </c:pt>
                <c:pt idx="2">
                  <c:v>rtf</c:v>
                </c:pt>
              </c:strCache>
            </c:strRef>
          </c:cat>
          <c:val>
            <c:numRef>
              <c:f>Hárok1!$F$8:$F$10</c:f>
              <c:numCache>
                <c:formatCode>General</c:formatCode>
                <c:ptCount val="3"/>
                <c:pt idx="0">
                  <c:v>129</c:v>
                </c:pt>
                <c:pt idx="1">
                  <c:v>50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5E-4FDC-A9B5-3C01E5684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3456063"/>
        <c:axId val="1895420431"/>
      </c:barChart>
      <c:catAx>
        <c:axId val="188345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95420431"/>
        <c:crosses val="autoZero"/>
        <c:auto val="1"/>
        <c:lblAlgn val="ctr"/>
        <c:lblOffset val="100"/>
        <c:noMultiLvlLbl val="0"/>
      </c:catAx>
      <c:valAx>
        <c:axId val="189542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8345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Celkový priemer</a:t>
            </a:r>
          </a:p>
        </c:rich>
      </c:tx>
      <c:layout>
        <c:manualLayout>
          <c:xMode val="edge"/>
          <c:yMode val="edge"/>
          <c:x val="0.3516874453193351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Hárok1!$A$13</c:f>
              <c:strCache>
                <c:ptCount val="1"/>
                <c:pt idx="0">
                  <c:v>celový 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Hárok1!$B$7:$F$7</c:f>
              <c:strCache>
                <c:ptCount val="5"/>
                <c:pt idx="0">
                  <c:v>Time (s)</c:v>
                </c:pt>
                <c:pt idx="1">
                  <c:v>Accuracy (%)</c:v>
                </c:pt>
                <c:pt idx="2">
                  <c:v>Average length (SQL tks/query)</c:v>
                </c:pt>
                <c:pt idx="3">
                  <c:v>Shortest query</c:v>
                </c:pt>
                <c:pt idx="4">
                  <c:v>Longest query</c:v>
                </c:pt>
              </c:strCache>
            </c:strRef>
          </c:cat>
          <c:val>
            <c:numRef>
              <c:f>Hárok1!$B$13:$F$13</c:f>
              <c:numCache>
                <c:formatCode>0.00</c:formatCode>
                <c:ptCount val="5"/>
                <c:pt idx="0">
                  <c:v>117.33333333333333</c:v>
                </c:pt>
                <c:pt idx="1">
                  <c:v>23.228333333333335</c:v>
                </c:pt>
                <c:pt idx="2">
                  <c:v>33.795000000000002</c:v>
                </c:pt>
                <c:pt idx="3">
                  <c:v>14.833333333333334</c:v>
                </c:pt>
                <c:pt idx="4">
                  <c:v>72.666666666666671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F-4FB9-8F61-881157E61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800927"/>
        <c:axId val="1895572687"/>
      </c:barChart>
      <c:catAx>
        <c:axId val="18080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95572687"/>
        <c:crosses val="autoZero"/>
        <c:auto val="1"/>
        <c:lblAlgn val="ctr"/>
        <c:lblOffset val="100"/>
        <c:noMultiLvlLbl val="0"/>
      </c:catAx>
      <c:valAx>
        <c:axId val="189557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080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321469</xdr:colOff>
      <xdr:row>2</xdr:row>
      <xdr:rowOff>4762</xdr:rowOff>
    </xdr:from>
    <xdr:to>
      <xdr:col>16</xdr:col>
      <xdr:colOff>378619</xdr:colOff>
      <xdr:row>17</xdr:row>
      <xdr:rowOff>23812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37B1C00F-B1C9-449F-051C-704A77244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619126</xdr:colOff>
      <xdr:row>0</xdr:row>
      <xdr:rowOff>90488</xdr:rowOff>
    </xdr:from>
    <xdr:to>
      <xdr:col>26</xdr:col>
      <xdr:colOff>133351</xdr:colOff>
      <xdr:row>19</xdr:row>
      <xdr:rowOff>166689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9252ACD5-B946-8DD8-07FD-BAA20E9D3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716003</xdr:colOff>
      <xdr:row>22</xdr:row>
      <xdr:rowOff>136106</xdr:rowOff>
    </xdr:from>
    <xdr:to>
      <xdr:col>14</xdr:col>
      <xdr:colOff>281989</xdr:colOff>
      <xdr:row>39</xdr:row>
      <xdr:rowOff>162928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CB1A9AB7-955B-C2A6-EE32-490943262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37598</xdr:colOff>
      <xdr:row>23</xdr:row>
      <xdr:rowOff>50133</xdr:rowOff>
    </xdr:from>
    <xdr:to>
      <xdr:col>25</xdr:col>
      <xdr:colOff>94749</xdr:colOff>
      <xdr:row>38</xdr:row>
      <xdr:rowOff>100515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A367FA37-542B-42DE-BC33-C0528705E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325855</xdr:colOff>
      <xdr:row>21</xdr:row>
      <xdr:rowOff>169194</xdr:rowOff>
    </xdr:from>
    <xdr:to>
      <xdr:col>5</xdr:col>
      <xdr:colOff>349292</xdr:colOff>
      <xdr:row>39</xdr:row>
      <xdr:rowOff>14289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4D14C6B4-4420-460B-A7DC-22955346F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67C4F7-5B92-4717-9FDB-12CBBE4DA6BE}" name="Tabuľka1" displayName="Tabuľka1" ref="A1:F4" totalsRowShown="0">
  <autoFilter ref="A1:F4" xr:uid="{B667C4F7-5B92-4717-9FDB-12CBBE4DA6BE}"/>
  <tableColumns count="6">
    <tableColumn id="1" xr3:uid="{03BFDD72-89AA-42CF-A5DB-E39C6F364E99}" name="Prompt"/>
    <tableColumn id="2" xr3:uid="{099AD3A1-D258-4646-BE56-0BD0BC0AD9F4}" name="Time (s)"/>
    <tableColumn id="3" xr3:uid="{5912E9A2-5ACA-476A-BDCE-7D11051B9F27}" name="Accuracy (%)"/>
    <tableColumn id="4" xr3:uid="{FC5733D8-0E7F-47A6-879F-E39207825CC0}" name="Average length (SQL tks/query)"/>
    <tableColumn id="5" xr3:uid="{97DDBCD2-A088-4437-A9D1-9B9AB658FC53}" name="Shortest query"/>
    <tableColumn id="6" xr3:uid="{D9A72208-484C-4A94-A08F-B5E2C2AE8DD2}" name="Longest query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758C58-17DB-49EE-BE18-D0A1DADFC021}" name="Tabuľka13" displayName="Tabuľka13" ref="A7:F10" totalsRowShown="0">
  <autoFilter ref="A7:F10" xr:uid="{86758C58-17DB-49EE-BE18-D0A1DADFC021}"/>
  <tableColumns count="6">
    <tableColumn id="1" xr3:uid="{E5210F05-4B36-40CE-A638-7957603437A1}" name="Prompt"/>
    <tableColumn id="2" xr3:uid="{0968A0A4-9942-4340-A503-5AB9345CFA7B}" name="Time (s)"/>
    <tableColumn id="3" xr3:uid="{BCA5F629-EE89-46E7-976A-9A86924153A7}" name="Accuracy (%)"/>
    <tableColumn id="4" xr3:uid="{EA397DA0-7318-4663-96BC-74B661685F2D}" name="Average length (SQL tks/query)"/>
    <tableColumn id="5" xr3:uid="{840C0928-F92F-4222-965C-84954DB50063}" name="Shortest query"/>
    <tableColumn id="6" xr3:uid="{1726A1C3-82A9-4673-8EE3-6B1A9C870D3B}" name="Longest quer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1593-A20F-4297-A25D-DB85D96E72F0}">
  <dimension ref="A1:F17"/>
  <sheetViews>
    <sheetView tabSelected="1" zoomScale="76" workbookViewId="0">
      <selection activeCell="D18" sqref="D18"/>
    </sheetView>
  </sheetViews>
  <sheetFormatPr defaultRowHeight="14.25" x14ac:dyDescent="0.45"/>
  <cols>
    <col min="1" max="1" width="12.59765625" customWidth="1"/>
    <col min="2" max="2" width="10.6640625" customWidth="1"/>
    <col min="3" max="3" width="13.53125" customWidth="1"/>
    <col min="4" max="4" width="28.46484375" customWidth="1"/>
    <col min="5" max="5" width="14.86328125" customWidth="1"/>
    <col min="6" max="6" width="14.265625" customWidth="1"/>
  </cols>
  <sheetData>
    <row r="1" spans="1:6" x14ac:dyDescent="0.45">
      <c r="A1" s="1" t="s">
        <v>0</v>
      </c>
      <c r="B1" s="2" t="s">
        <v>4</v>
      </c>
      <c r="C1" s="2" t="s">
        <v>5</v>
      </c>
      <c r="D1" s="2" t="s">
        <v>6</v>
      </c>
      <c r="E1" s="2" t="s">
        <v>8</v>
      </c>
      <c r="F1" s="3" t="s">
        <v>9</v>
      </c>
    </row>
    <row r="2" spans="1:6" x14ac:dyDescent="0.45">
      <c r="A2" s="4" t="s">
        <v>1</v>
      </c>
      <c r="B2">
        <v>159</v>
      </c>
      <c r="C2">
        <v>25.16</v>
      </c>
      <c r="D2">
        <v>28.96</v>
      </c>
      <c r="E2">
        <v>8</v>
      </c>
      <c r="F2" s="5">
        <v>54</v>
      </c>
    </row>
    <row r="3" spans="1:6" x14ac:dyDescent="0.45">
      <c r="A3" s="4" t="s">
        <v>2</v>
      </c>
      <c r="B3">
        <v>99</v>
      </c>
      <c r="C3">
        <v>21.94</v>
      </c>
      <c r="D3">
        <v>30.13</v>
      </c>
      <c r="E3">
        <v>13</v>
      </c>
      <c r="F3" s="5">
        <v>73</v>
      </c>
    </row>
    <row r="4" spans="1:6" ht="14.65" thickBot="1" x14ac:dyDescent="0.5">
      <c r="A4" s="4" t="s">
        <v>3</v>
      </c>
      <c r="B4">
        <v>118</v>
      </c>
      <c r="C4">
        <v>20.65</v>
      </c>
      <c r="D4">
        <v>30.51</v>
      </c>
      <c r="E4">
        <v>9</v>
      </c>
      <c r="F4" s="5">
        <v>56</v>
      </c>
    </row>
    <row r="5" spans="1:6" ht="14.65" thickBot="1" x14ac:dyDescent="0.5">
      <c r="A5" s="8" t="s">
        <v>7</v>
      </c>
      <c r="B5" s="6">
        <f>AVERAGE(B2:B4)</f>
        <v>125.33333333333333</v>
      </c>
      <c r="C5" s="6">
        <f t="shared" ref="C5:D5" si="0">AVERAGE(C2:C4)</f>
        <v>22.583333333333332</v>
      </c>
      <c r="D5" s="6">
        <f t="shared" si="0"/>
        <v>29.866666666666671</v>
      </c>
      <c r="E5" s="6">
        <f t="shared" ref="E5" si="1">AVERAGE(E2:E4)</f>
        <v>10</v>
      </c>
      <c r="F5" s="7">
        <f t="shared" ref="F5" si="2">AVERAGE(F2:F4)</f>
        <v>61</v>
      </c>
    </row>
    <row r="6" spans="1:6" ht="14.65" thickBot="1" x14ac:dyDescent="0.5">
      <c r="A6" s="9" t="s">
        <v>10</v>
      </c>
      <c r="B6" s="9"/>
      <c r="C6" s="9"/>
      <c r="D6" s="9"/>
      <c r="E6" s="9"/>
      <c r="F6" s="9"/>
    </row>
    <row r="7" spans="1:6" x14ac:dyDescent="0.45">
      <c r="A7" s="1" t="s">
        <v>0</v>
      </c>
      <c r="B7" s="2" t="s">
        <v>4</v>
      </c>
      <c r="C7" s="2" t="s">
        <v>5</v>
      </c>
      <c r="D7" s="2" t="s">
        <v>6</v>
      </c>
      <c r="E7" s="2" t="s">
        <v>8</v>
      </c>
      <c r="F7" s="3" t="s">
        <v>9</v>
      </c>
    </row>
    <row r="8" spans="1:6" x14ac:dyDescent="0.45">
      <c r="A8" s="4" t="s">
        <v>1</v>
      </c>
      <c r="B8">
        <v>142</v>
      </c>
      <c r="C8">
        <v>27.74</v>
      </c>
      <c r="D8">
        <v>33.17</v>
      </c>
      <c r="E8">
        <v>13</v>
      </c>
      <c r="F8" s="5">
        <v>129</v>
      </c>
    </row>
    <row r="9" spans="1:6" x14ac:dyDescent="0.45">
      <c r="A9" s="4" t="s">
        <v>2</v>
      </c>
      <c r="B9">
        <v>100</v>
      </c>
      <c r="C9">
        <v>21.94</v>
      </c>
      <c r="D9">
        <v>28.06</v>
      </c>
      <c r="E9">
        <v>8</v>
      </c>
      <c r="F9" s="5">
        <v>50</v>
      </c>
    </row>
    <row r="10" spans="1:6" ht="14.65" thickBot="1" x14ac:dyDescent="0.5">
      <c r="A10" s="4" t="s">
        <v>3</v>
      </c>
      <c r="B10">
        <v>86</v>
      </c>
      <c r="C10">
        <v>21.94</v>
      </c>
      <c r="D10">
        <v>51.94</v>
      </c>
      <c r="E10">
        <v>38</v>
      </c>
      <c r="F10" s="5">
        <v>74</v>
      </c>
    </row>
    <row r="11" spans="1:6" ht="14.65" thickBot="1" x14ac:dyDescent="0.5">
      <c r="A11" s="8" t="s">
        <v>7</v>
      </c>
      <c r="B11" s="6">
        <f>AVERAGE(B8:B10)</f>
        <v>109.33333333333333</v>
      </c>
      <c r="C11" s="6">
        <f t="shared" ref="C11:F11" si="3">AVERAGE(C8:C10)</f>
        <v>23.873333333333335</v>
      </c>
      <c r="D11" s="6">
        <f t="shared" si="3"/>
        <v>37.723333333333336</v>
      </c>
      <c r="E11" s="6">
        <f t="shared" si="3"/>
        <v>19.666666666666668</v>
      </c>
      <c r="F11" s="7">
        <f t="shared" si="3"/>
        <v>84.333333333333329</v>
      </c>
    </row>
    <row r="13" spans="1:6" x14ac:dyDescent="0.45">
      <c r="A13" t="s">
        <v>11</v>
      </c>
      <c r="B13" s="10">
        <f>(SUM(Tabuľka1[Time (s)])+SUM(Tabuľka13[Time (s)]))/6</f>
        <v>117.33333333333333</v>
      </c>
      <c r="C13" s="10">
        <f>(SUM(Tabuľka1[Accuracy (%)])+SUM(Tabuľka13[Accuracy (%)]))/6</f>
        <v>23.228333333333335</v>
      </c>
      <c r="D13" s="10">
        <f>(SUM(Tabuľka1[Average length (SQL tks/query)])+SUM(Tabuľka13[Average length (SQL tks/query)]))/6</f>
        <v>33.795000000000002</v>
      </c>
      <c r="E13" s="10">
        <f>(SUM(Tabuľka1[Shortest query])+SUM(Tabuľka13[Shortest query]))/6</f>
        <v>14.833333333333334</v>
      </c>
      <c r="F13" s="10">
        <f>(SUM(Tabuľka1[Longest query])+SUM(Tabuľka13[Longest query]))/6</f>
        <v>72.666666666666671</v>
      </c>
    </row>
    <row r="14" spans="1:6" x14ac:dyDescent="0.45">
      <c r="A14" s="11" t="s">
        <v>12</v>
      </c>
      <c r="B14" t="s">
        <v>13</v>
      </c>
      <c r="C14" t="s">
        <v>14</v>
      </c>
    </row>
    <row r="15" spans="1:6" x14ac:dyDescent="0.45">
      <c r="B15" s="11" t="s">
        <v>1</v>
      </c>
      <c r="C15" s="11">
        <v>2.58</v>
      </c>
    </row>
    <row r="16" spans="1:6" x14ac:dyDescent="0.45">
      <c r="B16" s="11" t="s">
        <v>2</v>
      </c>
      <c r="C16" s="11">
        <v>-0.01</v>
      </c>
    </row>
    <row r="17" spans="2:3" x14ac:dyDescent="0.45">
      <c r="B17" s="11" t="s">
        <v>3</v>
      </c>
      <c r="C17" s="11">
        <v>1.29</v>
      </c>
    </row>
  </sheetData>
  <mergeCells count="1">
    <mergeCell ref="A6:F6"/>
  </mergeCells>
  <pageMargins left="0.7" right="0.7" top="0.75" bottom="0.75" header="0.3" footer="0.3"/>
  <pageSetup paperSize="9" orientation="portrait" horizontalDpi="4294967293" verticalDpi="0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Rakytiak Roman</dc:creator>
  <cp:lastModifiedBy>Rakytiak Roman</cp:lastModifiedBy>
  <dcterms:created xsi:type="dcterms:W3CDTF">2026-10-14T15:04:17Z</dcterms:created>
  <dcterms:modified xsi:type="dcterms:W3CDTF">2026-10-14T19:25:33Z</dcterms:modified>
</cp:coreProperties>
</file>